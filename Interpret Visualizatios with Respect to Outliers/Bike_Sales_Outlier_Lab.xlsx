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5.4.5 Lab Interpret Visualizatios with Respect to Outliers\"/>
    </mc:Choice>
  </mc:AlternateContent>
  <xr:revisionPtr revIDLastSave="0" documentId="13_ncr:1_{E61C2AAC-A4D4-42E2-9BFA-59048A05D12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ike Sales" sheetId="1" r:id="rId1"/>
    <sheet name="outliers" sheetId="2" r:id="rId2"/>
  </sheets>
  <calcPr calcId="191028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2" l="1" a="1"/>
  <c r="K20" i="2"/>
  <c r="I20" i="2" a="1"/>
  <c r="I20" i="2"/>
  <c r="G20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<sst xmlns="http://schemas.openxmlformats.org/spreadsheetml/2006/main" count="813" uniqueCount="162">
  <si>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</si>
  <si>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</si>
  <si>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</si>
  <si>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</si>
  <si>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</si>
  <si>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</si>
  <si>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</si>
  <si>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</si>
  <si>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</si>
  <si>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</si>
  <si>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</si>
  <si>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</si>
  <si>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</si>
  <si>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</si>
  <si>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</si>
  <si>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</si>
  <si>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</si>
  <si>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</si>
  <si>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</si>
  <si>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</si>
  <si>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</si>
  <si>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</si>
  <si>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</si>
  <si>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</si>
  <si>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</si>
  <si>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</si>
  <si>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</si>
  <si>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</si>
  <si>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</si>
  <si>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</si>
  <si>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</si>
  <si>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</si>
  <si>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</si>
  <si>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</si>
  <si>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</si>
  <si>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</si>
  <si>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</si>
  <si>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</si>
  <si>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</si>
  <si>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</si>
  <si>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</si>
  <si>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</si>
  <si>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</si>
  <si>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</si>
  <si>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</si>
  <si>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</si>
  <si>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</si>
  <si>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</si>
  <si>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</si>
  <si>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</si>
  <si>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</si>
  <si>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</si>
  <si>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</si>
  <si>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</si>
  <si>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</si>
  <si>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</si>
  <si>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</si>
  <si>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</si>
  <si>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</si>
  <si>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</si>
  <si>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</si>
  <si>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</si>
  <si>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</si>
  <si>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</si>
  <si>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</si>
  <si>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</si>
  <si>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</si>
  <si>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</si>
  <si>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</si>
  <si>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</si>
  <si>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</si>
  <si>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</si>
  <si>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</si>
  <si>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</si>
  <si>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</si>
  <si>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</si>
  <si>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</si>
  <si>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</si>
  <si>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</si>
  <si>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</si>
  <si>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</si>
  <si>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</si>
  <si>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</si>
  <si>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</si>
  <si>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</si>
  <si>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</si>
  <si>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</si>
  <si>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</si>
  <si>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</si>
  <si>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</si>
  <si>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</si>
  <si>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</si>
  <si>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</si>
  <si>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</si>
  <si>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</si>
  <si>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</si>
  <si>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</si>
  <si>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</si>
  <si>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</si>
  <si>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</si>
  <si>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</si>
  <si>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</si>
  <si>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</si>
  <si>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</si>
  <si>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</si>
  <si>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</si>
  <si>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</si>
  <si>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</si>
  <si>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</si>
  <si>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</si>
  <si>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</si>
  <si>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</si>
  <si>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</si>
  <si>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</si>
  <si>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</si>
  <si>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</si>
  <si>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</si>
  <si>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</si>
  <si>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</si>
  <si>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</si>
  <si>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</si>
  <si>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</si>
  <si>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</si>
  <si>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</si>
  <si>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</si>
  <si>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</si>
  <si>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</si>
  <si>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</si>
  <si>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</si>
  <si>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</si>
  <si>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</si>
  <si>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</si>
  <si>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</si>
  <si>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</si>
  <si>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</si>
  <si>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</si>
  <si>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</si>
  <si>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</si>
  <si>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</si>
  <si>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</si>
  <si>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</si>
  <si>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</si>
  <si>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</si>
  <si>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</si>
  <si>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</si>
  <si>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</si>
  <si>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</si>
  <si>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</si>
  <si>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</si>
  <si>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</si>
  <si>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</si>
  <si>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</si>
  <si>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</si>
  <si>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</si>
  <si>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</si>
  <si>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Row Labels</t>
  </si>
  <si>
    <t>Grand Total</t>
  </si>
  <si>
    <t>Sum of Order_Quantity</t>
  </si>
  <si>
    <t>Returns the highest value</t>
  </si>
  <si>
    <t>Get the highest 5 values</t>
  </si>
  <si>
    <t>Get the lowest 6 values</t>
  </si>
  <si>
    <t>Challenge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</si>
</sst>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Order_Quantity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outliers!$E$3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outliers!$D$4:$D$27</c:f>
              <c:numCache>
                <c:formatCode>m/d/yyyy</c:formatCode>
                <c:ptCount val="24"/>
                <c:pt idx="0">
                  <c:v>44549</c:v>
                </c:pt>
                <c:pt idx="1">
                  <c:v>44548</c:v>
                </c:pt>
                <c:pt idx="2">
                  <c:v>44550</c:v>
                </c:pt>
                <c:pt idx="3">
                  <c:v>44542</c:v>
                </c:pt>
                <c:pt idx="4">
                  <c:v>44538</c:v>
                </c:pt>
                <c:pt idx="5">
                  <c:v>44535</c:v>
                </c:pt>
                <c:pt idx="6">
                  <c:v>44552</c:v>
                </c:pt>
                <c:pt idx="7">
                  <c:v>44541</c:v>
                </c:pt>
                <c:pt idx="8">
                  <c:v>44540</c:v>
                </c:pt>
                <c:pt idx="9">
                  <c:v>44537</c:v>
                </c:pt>
                <c:pt idx="10">
                  <c:v>44536</c:v>
                </c:pt>
                <c:pt idx="11">
                  <c:v>44543</c:v>
                </c:pt>
                <c:pt idx="12">
                  <c:v>44551</c:v>
                </c:pt>
                <c:pt idx="13">
                  <c:v>44531</c:v>
                </c:pt>
                <c:pt idx="14">
                  <c:v>44546</c:v>
                </c:pt>
                <c:pt idx="15">
                  <c:v>44534</c:v>
                </c:pt>
                <c:pt idx="16">
                  <c:v>44554</c:v>
                </c:pt>
                <c:pt idx="17">
                  <c:v>44547</c:v>
                </c:pt>
                <c:pt idx="18">
                  <c:v>44533</c:v>
                </c:pt>
                <c:pt idx="19">
                  <c:v>44544</c:v>
                </c:pt>
                <c:pt idx="20">
                  <c:v>44532</c:v>
                </c:pt>
                <c:pt idx="21">
                  <c:v>44553</c:v>
                </c:pt>
                <c:pt idx="22">
                  <c:v>44539</c:v>
                </c:pt>
                <c:pt idx="23">
                  <c:v>44545</c:v>
                </c:pt>
              </c:numCache>
            </c:numRef>
          </c:xVal>
          <c:yVal>
            <c:numRef>
              <c:f>outliers!$E$4:$E$27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19</c:v>
                </c:pt>
                <c:pt idx="23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0-4550-9B6E-C04F0A8F6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720176"/>
        <c:axId val="517854288"/>
      </c:scatterChart>
      <c:valAx>
        <c:axId val="5177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854288"/>
        <c:crosses val="autoZero"/>
        <c:crossBetween val="midCat"/>
      </c:valAx>
      <c:valAx>
        <c:axId val="5178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2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outliers!$B$31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outliers!$A$32:$A$55</c:f>
              <c:numCache>
                <c:formatCode>m/d/yyyy</c:formatCode>
                <c:ptCount val="24"/>
                <c:pt idx="0">
                  <c:v>44549</c:v>
                </c:pt>
                <c:pt idx="1">
                  <c:v>44548</c:v>
                </c:pt>
                <c:pt idx="2">
                  <c:v>44550</c:v>
                </c:pt>
                <c:pt idx="3">
                  <c:v>44542</c:v>
                </c:pt>
                <c:pt idx="4">
                  <c:v>44538</c:v>
                </c:pt>
                <c:pt idx="5">
                  <c:v>44535</c:v>
                </c:pt>
                <c:pt idx="6">
                  <c:v>44552</c:v>
                </c:pt>
                <c:pt idx="7">
                  <c:v>44541</c:v>
                </c:pt>
                <c:pt idx="8">
                  <c:v>44540</c:v>
                </c:pt>
                <c:pt idx="9">
                  <c:v>44537</c:v>
                </c:pt>
                <c:pt idx="10">
                  <c:v>44536</c:v>
                </c:pt>
                <c:pt idx="11">
                  <c:v>44543</c:v>
                </c:pt>
                <c:pt idx="12">
                  <c:v>44551</c:v>
                </c:pt>
                <c:pt idx="13">
                  <c:v>44531</c:v>
                </c:pt>
                <c:pt idx="14">
                  <c:v>44546</c:v>
                </c:pt>
                <c:pt idx="15">
                  <c:v>44534</c:v>
                </c:pt>
                <c:pt idx="16">
                  <c:v>44554</c:v>
                </c:pt>
                <c:pt idx="17">
                  <c:v>44547</c:v>
                </c:pt>
                <c:pt idx="18">
                  <c:v>44533</c:v>
                </c:pt>
                <c:pt idx="19">
                  <c:v>44544</c:v>
                </c:pt>
                <c:pt idx="20">
                  <c:v>44532</c:v>
                </c:pt>
                <c:pt idx="21">
                  <c:v>44553</c:v>
                </c:pt>
                <c:pt idx="22">
                  <c:v>44539</c:v>
                </c:pt>
                <c:pt idx="23">
                  <c:v>44545</c:v>
                </c:pt>
              </c:numCache>
            </c:numRef>
          </c:xVal>
          <c:yVal>
            <c:numRef>
              <c:f>outliers!$B$32:$B$55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9-4D5B-8D2A-E5B2961DC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45488"/>
        <c:axId val="500845840"/>
      </c:scatterChart>
      <c:valAx>
        <c:axId val="50084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45840"/>
        <c:crosses val="autoZero"/>
        <c:crossBetween val="midCat"/>
      </c:valAx>
      <c:valAx>
        <c:axId val="5008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4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43766</xdr:colOff>
      <xdr:row>3</xdr:row>
      <xdr:rowOff>9540</xdr:rowOff>
    </xdr:from>
    <xdr:to>
      <xdr:col>15</xdr:col>
      <xdr:colOff>328112</xdr:colOff>
      <xdr:row>17</xdr:row>
      <xdr:rowOff>42374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70E934-D6BE-5861-8DCD-910022287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116704</xdr:colOff>
      <xdr:row>36</xdr:row>
      <xdr:rowOff>45308</xdr:rowOff>
    </xdr:from>
    <xdr:to>
      <xdr:col>8</xdr:col>
      <xdr:colOff>707760</xdr:colOff>
      <xdr:row>50</xdr:row>
      <xdr:rowOff>147251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3BD992-9047-9B39-7C65-C1D11D394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VO" refreshedDate="46307.498093055554" createdVersion="8" refreshedVersion="8" minRefreshableVersion="3" recordCount="88" xr:uid="{60C2D171-2F4D-4FD0-9F73-D0BE4FDB4853}">
  <cacheSource type="worksheet">
    <worksheetSource ref="A1:S88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13926"/>
    </cacheField>
    <cacheField name="Revenue" numFmtId="8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F8CE0-4F41-4F2B-82B7-9DECAF9AEC8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9">
    <pivotField showAll="0"/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"/>
  <sheetViews>
    <sheetView topLeftCell="H1" workbookViewId="0">
      <pane ySplit="1" topLeftCell="A55" activePane="bottomLeft" state="frozen"/>
      <selection activeCell="B1" sqref="B1"/>
      <selection pane="bottomLeft" activeCell="A71" sqref="A71:XFD71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7" width="9.85546875" bestFit="1" customWidth="1"/>
    <col min="18" max="18" width="11.4257812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8" si="2">N67*O67</f>
        <v>5008</v>
      </c>
      <c r="S67" s="2">
        <f t="shared" ref="S67:S88" si="3">N67*P67</f>
        <v>9180</v>
      </c>
    </row>
    <row r="68" spans="1:19" x14ac:dyDescent="0.2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136</v>
      </c>
      <c r="B72" s="1">
        <v>44550</v>
      </c>
      <c r="C72">
        <v>20</v>
      </c>
      <c r="D72" t="s">
        <v>20</v>
      </c>
      <c r="E72">
        <v>2021</v>
      </c>
      <c r="F72">
        <v>33</v>
      </c>
      <c r="G72" s="8" t="s">
        <v>36</v>
      </c>
      <c r="H72" t="s">
        <v>22</v>
      </c>
      <c r="I72" t="s">
        <v>37</v>
      </c>
      <c r="J72" t="s">
        <v>73</v>
      </c>
      <c r="K72" t="s">
        <v>25</v>
      </c>
      <c r="L72" t="s">
        <v>26</v>
      </c>
      <c r="M72" s="5" t="s">
        <v>74</v>
      </c>
      <c r="N72">
        <v>4</v>
      </c>
      <c r="O72" s="2">
        <v>1898</v>
      </c>
      <c r="P72" s="2">
        <v>3375</v>
      </c>
      <c r="Q72" s="2">
        <v>5908</v>
      </c>
      <c r="R72" s="2">
        <f t="shared" si="2"/>
        <v>7592</v>
      </c>
      <c r="S72" s="2">
        <f t="shared" si="3"/>
        <v>13500</v>
      </c>
    </row>
    <row r="73" spans="1:19" x14ac:dyDescent="0.2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57</v>
      </c>
      <c r="G73" s="8" t="s">
        <v>21</v>
      </c>
      <c r="H73" t="s">
        <v>29</v>
      </c>
      <c r="I73" t="s">
        <v>37</v>
      </c>
      <c r="J73" t="s">
        <v>52</v>
      </c>
      <c r="K73" t="s">
        <v>25</v>
      </c>
      <c r="L73" t="s">
        <v>26</v>
      </c>
      <c r="M73" s="5" t="s">
        <v>27</v>
      </c>
      <c r="N73">
        <v>4</v>
      </c>
      <c r="O73" s="2">
        <v>1252</v>
      </c>
      <c r="P73" s="2">
        <v>2295</v>
      </c>
      <c r="Q73" s="2">
        <v>4172</v>
      </c>
      <c r="R73" s="2">
        <f t="shared" si="2"/>
        <v>5008</v>
      </c>
      <c r="S73" s="2">
        <f t="shared" si="3"/>
        <v>9180</v>
      </c>
    </row>
    <row r="74" spans="1:19" x14ac:dyDescent="0.2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29</v>
      </c>
      <c r="G74" s="8" t="s">
        <v>36</v>
      </c>
      <c r="H74" t="s">
        <v>29</v>
      </c>
      <c r="I74" t="s">
        <v>57</v>
      </c>
      <c r="J74" t="s">
        <v>58</v>
      </c>
      <c r="K74" t="s">
        <v>25</v>
      </c>
      <c r="L74" t="s">
        <v>26</v>
      </c>
      <c r="M74" s="5" t="s">
        <v>139</v>
      </c>
      <c r="N74">
        <v>3</v>
      </c>
      <c r="O74" s="2">
        <v>295</v>
      </c>
      <c r="P74" s="2">
        <v>540</v>
      </c>
      <c r="Q74" s="2">
        <v>735</v>
      </c>
      <c r="R74" s="2">
        <f t="shared" si="2"/>
        <v>885</v>
      </c>
      <c r="S74" s="2">
        <f t="shared" si="3"/>
        <v>1620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35</v>
      </c>
      <c r="G75" s="8" t="s">
        <v>21</v>
      </c>
      <c r="H75" t="s">
        <v>22</v>
      </c>
      <c r="I75" t="s">
        <v>37</v>
      </c>
      <c r="J75" t="s">
        <v>52</v>
      </c>
      <c r="K75" t="s">
        <v>25</v>
      </c>
      <c r="L75" t="s">
        <v>26</v>
      </c>
      <c r="M75" s="5" t="s">
        <v>53</v>
      </c>
      <c r="N75">
        <v>1</v>
      </c>
      <c r="O75" s="2">
        <v>1266</v>
      </c>
      <c r="P75" s="2">
        <v>2320</v>
      </c>
      <c r="Q75" s="2">
        <v>1054</v>
      </c>
      <c r="R75" s="2">
        <f t="shared" si="2"/>
        <v>1266</v>
      </c>
      <c r="S75" s="2">
        <f t="shared" si="3"/>
        <v>2320</v>
      </c>
    </row>
    <row r="76" spans="1:19" x14ac:dyDescent="0.2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29</v>
      </c>
      <c r="I76" t="s">
        <v>37</v>
      </c>
      <c r="J76" t="s">
        <v>73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142</v>
      </c>
      <c r="B77" s="1">
        <v>44551</v>
      </c>
      <c r="C77">
        <v>21</v>
      </c>
      <c r="D77" t="s">
        <v>20</v>
      </c>
      <c r="E77">
        <v>2021</v>
      </c>
      <c r="F77">
        <v>26</v>
      </c>
      <c r="G77" s="8" t="s">
        <v>36</v>
      </c>
      <c r="H77" t="s">
        <v>29</v>
      </c>
      <c r="I77" t="s">
        <v>86</v>
      </c>
      <c r="J77" t="s">
        <v>143</v>
      </c>
      <c r="K77" t="s">
        <v>25</v>
      </c>
      <c r="L77" t="s">
        <v>26</v>
      </c>
      <c r="M77" s="5" t="s">
        <v>53</v>
      </c>
      <c r="N77">
        <v>3</v>
      </c>
      <c r="O77" s="2">
        <v>1266</v>
      </c>
      <c r="P77" s="2">
        <v>2320</v>
      </c>
      <c r="Q77" s="2">
        <v>3162</v>
      </c>
      <c r="R77" s="2">
        <f t="shared" si="2"/>
        <v>3798</v>
      </c>
      <c r="S77" s="2">
        <f t="shared" si="3"/>
        <v>6960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23</v>
      </c>
      <c r="G78" s="8" t="s">
        <v>42</v>
      </c>
      <c r="H78" t="s">
        <v>29</v>
      </c>
      <c r="I78" t="s">
        <v>30</v>
      </c>
      <c r="J78" t="s">
        <v>31</v>
      </c>
      <c r="K78" t="s">
        <v>25</v>
      </c>
      <c r="L78" t="s">
        <v>26</v>
      </c>
      <c r="M78" s="5" t="s">
        <v>34</v>
      </c>
      <c r="N78">
        <v>2</v>
      </c>
      <c r="O78" s="2">
        <v>420</v>
      </c>
      <c r="P78" s="2">
        <v>769</v>
      </c>
      <c r="Q78" s="2">
        <v>698</v>
      </c>
      <c r="R78" s="2">
        <f t="shared" si="2"/>
        <v>840</v>
      </c>
      <c r="S78" s="2">
        <f t="shared" si="3"/>
        <v>1538</v>
      </c>
    </row>
    <row r="79" spans="1:19" x14ac:dyDescent="0.25">
      <c r="A79" s="3" t="s">
        <v>145</v>
      </c>
      <c r="B79" s="1">
        <v>44552</v>
      </c>
      <c r="C79">
        <v>22</v>
      </c>
      <c r="D79" t="s">
        <v>20</v>
      </c>
      <c r="E79">
        <v>2021</v>
      </c>
      <c r="F79">
        <v>30</v>
      </c>
      <c r="G79" s="8" t="s">
        <v>36</v>
      </c>
      <c r="H79" t="s">
        <v>22</v>
      </c>
      <c r="I79" t="s">
        <v>23</v>
      </c>
      <c r="J79" t="s">
        <v>45</v>
      </c>
      <c r="K79" t="s">
        <v>25</v>
      </c>
      <c r="L79" t="s">
        <v>26</v>
      </c>
      <c r="M79" s="5" t="s">
        <v>53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41</v>
      </c>
      <c r="G80" s="8" t="s">
        <v>21</v>
      </c>
      <c r="H80" t="s">
        <v>29</v>
      </c>
      <c r="I80" t="s">
        <v>23</v>
      </c>
      <c r="J80" t="s">
        <v>24</v>
      </c>
      <c r="K80" t="s">
        <v>25</v>
      </c>
      <c r="L80" t="s">
        <v>26</v>
      </c>
      <c r="M80" s="5" t="s">
        <v>60</v>
      </c>
      <c r="N80">
        <v>3</v>
      </c>
      <c r="O80" s="2">
        <v>1252</v>
      </c>
      <c r="P80" s="2">
        <v>2295</v>
      </c>
      <c r="Q80" s="2">
        <v>3129</v>
      </c>
      <c r="R80" s="2">
        <f t="shared" si="2"/>
        <v>3756</v>
      </c>
      <c r="S80" s="2">
        <f t="shared" si="3"/>
        <v>6885</v>
      </c>
    </row>
    <row r="81" spans="1:19" x14ac:dyDescent="0.2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19</v>
      </c>
      <c r="G81" s="8" t="s">
        <v>42</v>
      </c>
      <c r="H81" t="s">
        <v>22</v>
      </c>
      <c r="I81" t="s">
        <v>37</v>
      </c>
      <c r="J81" t="s">
        <v>38</v>
      </c>
      <c r="K81" t="s">
        <v>25</v>
      </c>
      <c r="L81" t="s">
        <v>26</v>
      </c>
      <c r="M81" s="5" t="s">
        <v>66</v>
      </c>
      <c r="N81">
        <v>1</v>
      </c>
      <c r="O81" s="2">
        <v>308</v>
      </c>
      <c r="P81" s="2">
        <v>565</v>
      </c>
      <c r="Q81" s="2">
        <v>257</v>
      </c>
      <c r="R81" s="2">
        <f t="shared" si="2"/>
        <v>308</v>
      </c>
      <c r="S81" s="2">
        <f t="shared" si="3"/>
        <v>565</v>
      </c>
    </row>
    <row r="82" spans="1:19" x14ac:dyDescent="0.2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25</v>
      </c>
      <c r="G82" s="8" t="s">
        <v>36</v>
      </c>
      <c r="H82" t="s">
        <v>29</v>
      </c>
      <c r="I82" t="s">
        <v>86</v>
      </c>
      <c r="J82" t="s">
        <v>87</v>
      </c>
      <c r="K82" t="s">
        <v>25</v>
      </c>
      <c r="L82" t="s">
        <v>26</v>
      </c>
      <c r="M82" s="5" t="s">
        <v>43</v>
      </c>
      <c r="N82">
        <v>1</v>
      </c>
      <c r="O82" s="2">
        <v>1252</v>
      </c>
      <c r="P82" s="2">
        <v>2295</v>
      </c>
      <c r="Q82" s="2">
        <v>1043</v>
      </c>
      <c r="R82" s="2">
        <f t="shared" si="2"/>
        <v>1252</v>
      </c>
      <c r="S82" s="2">
        <f t="shared" si="3"/>
        <v>2295</v>
      </c>
    </row>
    <row r="83" spans="1:19" x14ac:dyDescent="0.2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27</v>
      </c>
      <c r="G83" s="8" t="s">
        <v>36</v>
      </c>
      <c r="H83" t="s">
        <v>22</v>
      </c>
      <c r="I83" t="s">
        <v>57</v>
      </c>
      <c r="J83" t="s">
        <v>58</v>
      </c>
      <c r="K83" t="s">
        <v>25</v>
      </c>
      <c r="L83" t="s">
        <v>26</v>
      </c>
      <c r="M83" s="5" t="s">
        <v>27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41</v>
      </c>
      <c r="G84" s="8" t="s">
        <v>21</v>
      </c>
      <c r="H84" t="s">
        <v>29</v>
      </c>
      <c r="I84" t="s">
        <v>49</v>
      </c>
      <c r="J84" t="s">
        <v>135</v>
      </c>
      <c r="K84" t="s">
        <v>25</v>
      </c>
      <c r="L84" t="s">
        <v>26</v>
      </c>
      <c r="M84" s="5" t="s">
        <v>53</v>
      </c>
      <c r="N84">
        <v>1</v>
      </c>
      <c r="O84" s="2">
        <v>1266</v>
      </c>
      <c r="P84" s="2">
        <v>2320</v>
      </c>
      <c r="Q84" s="2">
        <v>1054</v>
      </c>
      <c r="R84" s="2">
        <f t="shared" si="2"/>
        <v>1266</v>
      </c>
      <c r="S84" s="2">
        <f t="shared" si="3"/>
        <v>2320</v>
      </c>
    </row>
    <row r="85" spans="1:19" x14ac:dyDescent="0.25">
      <c r="A85" s="3" t="s">
        <v>151</v>
      </c>
      <c r="B85" s="1">
        <v>44553</v>
      </c>
      <c r="C85">
        <v>23</v>
      </c>
      <c r="D85" t="s">
        <v>20</v>
      </c>
      <c r="E85">
        <v>2021</v>
      </c>
      <c r="F85">
        <v>30</v>
      </c>
      <c r="G85" s="8" t="s">
        <v>36</v>
      </c>
      <c r="H85" t="s">
        <v>22</v>
      </c>
      <c r="I85" t="s">
        <v>23</v>
      </c>
      <c r="J85" t="s">
        <v>69</v>
      </c>
      <c r="K85" t="s">
        <v>25</v>
      </c>
      <c r="L85" t="s">
        <v>26</v>
      </c>
      <c r="M85" s="5" t="s">
        <v>32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31</v>
      </c>
      <c r="G86" s="8" t="s">
        <v>36</v>
      </c>
      <c r="H86" t="s">
        <v>22</v>
      </c>
      <c r="I86" t="s">
        <v>57</v>
      </c>
      <c r="J86" t="s">
        <v>58</v>
      </c>
      <c r="K86" t="s">
        <v>25</v>
      </c>
      <c r="L86" t="s">
        <v>26</v>
      </c>
      <c r="M86" s="5" t="s">
        <v>60</v>
      </c>
      <c r="N86">
        <v>1</v>
      </c>
      <c r="O86" s="2">
        <v>1252</v>
      </c>
      <c r="P86" s="2">
        <v>2295</v>
      </c>
      <c r="Q86" s="2">
        <v>1043</v>
      </c>
      <c r="R86" s="2">
        <f t="shared" si="2"/>
        <v>1252</v>
      </c>
      <c r="S86" s="2">
        <f t="shared" si="3"/>
        <v>2295</v>
      </c>
    </row>
    <row r="87" spans="1:19" x14ac:dyDescent="0.2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35</v>
      </c>
      <c r="G87" s="8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s="5" t="s">
        <v>70</v>
      </c>
      <c r="N87">
        <v>1</v>
      </c>
      <c r="O87" s="2">
        <v>295</v>
      </c>
      <c r="P87" s="2">
        <v>540</v>
      </c>
      <c r="Q87" s="2">
        <v>245</v>
      </c>
      <c r="R87" s="2">
        <f t="shared" si="2"/>
        <v>295</v>
      </c>
      <c r="S87" s="2">
        <f t="shared" si="3"/>
        <v>540</v>
      </c>
    </row>
    <row r="88" spans="1:19" x14ac:dyDescent="0.25">
      <c r="A88" s="3" t="s">
        <v>154</v>
      </c>
      <c r="B88" s="1">
        <v>44554</v>
      </c>
      <c r="C88">
        <v>24</v>
      </c>
      <c r="D88" t="s">
        <v>20</v>
      </c>
      <c r="E88">
        <v>2021</v>
      </c>
      <c r="F88">
        <v>38</v>
      </c>
      <c r="G88" s="8" t="s">
        <v>21</v>
      </c>
      <c r="H88" t="s">
        <v>29</v>
      </c>
      <c r="I88" t="s">
        <v>37</v>
      </c>
      <c r="J88" t="s">
        <v>52</v>
      </c>
      <c r="K88" t="s">
        <v>25</v>
      </c>
      <c r="L88" t="s">
        <v>26</v>
      </c>
      <c r="M88" s="5" t="s">
        <v>60</v>
      </c>
      <c r="N88">
        <v>4</v>
      </c>
      <c r="O88" s="2">
        <v>1252</v>
      </c>
      <c r="P88" s="2">
        <v>2295</v>
      </c>
      <c r="Q88" s="2">
        <v>4172</v>
      </c>
      <c r="R88" s="2">
        <f t="shared" si="2"/>
        <v>5008</v>
      </c>
      <c r="S88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ED5E-F679-4439-A67F-61F1212E8A1B}">
  <dimension ref="A3:K55"/>
  <sheetViews>
    <sheetView tabSelected="1" topLeftCell="A25" zoomScale="74" workbookViewId="0">
      <selection activeCell="A29" sqref="A29:E30"/>
    </sheetView>
  </sheetViews>
  <sheetFormatPr defaultRowHeight="15" x14ac:dyDescent="0.25"/>
  <cols>
    <col min="1" max="1" width="13.140625" bestFit="1" customWidth="1"/>
    <col min="2" max="2" width="22" bestFit="1" customWidth="1"/>
    <col min="4" max="4" width="15.85546875" customWidth="1"/>
    <col min="5" max="5" width="25.7109375" customWidth="1"/>
    <col min="7" max="7" width="21.7109375" customWidth="1"/>
    <col min="9" max="9" width="21.140625" customWidth="1"/>
    <col min="11" max="11" width="22.28515625" customWidth="1"/>
  </cols>
  <sheetData>
    <row r="3" spans="1:5" x14ac:dyDescent="0.25">
      <c r="A3" s="9" t="s">
        <v>155</v>
      </c>
      <c r="B3" t="s">
        <v>157</v>
      </c>
      <c r="D3" s="12" t="s">
        <v>155</v>
      </c>
      <c r="E3" s="12" t="s">
        <v>157</v>
      </c>
    </row>
    <row r="4" spans="1:5" x14ac:dyDescent="0.25">
      <c r="A4" s="10">
        <v>44531</v>
      </c>
      <c r="B4" s="11">
        <v>5</v>
      </c>
      <c r="D4" s="10">
        <v>44549</v>
      </c>
      <c r="E4" s="11">
        <v>1</v>
      </c>
    </row>
    <row r="5" spans="1:5" x14ac:dyDescent="0.25">
      <c r="A5" s="10">
        <v>44532</v>
      </c>
      <c r="B5" s="11">
        <v>3</v>
      </c>
      <c r="D5" s="10">
        <v>44548</v>
      </c>
      <c r="E5" s="11">
        <v>3</v>
      </c>
    </row>
    <row r="6" spans="1:5" x14ac:dyDescent="0.25">
      <c r="A6" s="10">
        <v>44533</v>
      </c>
      <c r="B6" s="11">
        <v>4</v>
      </c>
      <c r="D6" s="10">
        <v>44550</v>
      </c>
      <c r="E6" s="11">
        <v>3</v>
      </c>
    </row>
    <row r="7" spans="1:5" x14ac:dyDescent="0.25">
      <c r="A7" s="10">
        <v>44534</v>
      </c>
      <c r="B7" s="11">
        <v>4</v>
      </c>
      <c r="D7" s="10">
        <v>44542</v>
      </c>
      <c r="E7" s="11">
        <v>3</v>
      </c>
    </row>
    <row r="8" spans="1:5" x14ac:dyDescent="0.25">
      <c r="A8" s="10">
        <v>44535</v>
      </c>
      <c r="B8" s="11">
        <v>10</v>
      </c>
      <c r="D8" s="10">
        <v>44538</v>
      </c>
      <c r="E8" s="11">
        <v>4</v>
      </c>
    </row>
    <row r="9" spans="1:5" x14ac:dyDescent="0.25">
      <c r="A9" s="10">
        <v>44536</v>
      </c>
      <c r="B9" s="11">
        <v>6</v>
      </c>
      <c r="D9" s="10">
        <v>44535</v>
      </c>
      <c r="E9" s="11">
        <v>4</v>
      </c>
    </row>
    <row r="10" spans="1:5" x14ac:dyDescent="0.25">
      <c r="A10" s="10">
        <v>44537</v>
      </c>
      <c r="B10" s="11">
        <v>6</v>
      </c>
      <c r="D10" s="10">
        <v>44552</v>
      </c>
      <c r="E10" s="11">
        <v>4</v>
      </c>
    </row>
    <row r="11" spans="1:5" x14ac:dyDescent="0.25">
      <c r="A11" s="10">
        <v>44538</v>
      </c>
      <c r="B11" s="11">
        <v>11</v>
      </c>
      <c r="D11" s="10">
        <v>44541</v>
      </c>
      <c r="E11" s="11">
        <v>4</v>
      </c>
    </row>
    <row r="12" spans="1:5" x14ac:dyDescent="0.25">
      <c r="A12" s="10">
        <v>44539</v>
      </c>
      <c r="B12" s="11">
        <v>3</v>
      </c>
      <c r="D12" s="10">
        <v>44540</v>
      </c>
      <c r="E12" s="11">
        <v>4</v>
      </c>
    </row>
    <row r="13" spans="1:5" x14ac:dyDescent="0.25">
      <c r="A13" s="10">
        <v>44540</v>
      </c>
      <c r="B13" s="11">
        <v>8</v>
      </c>
      <c r="D13" s="10">
        <v>44537</v>
      </c>
      <c r="E13" s="11">
        <v>5</v>
      </c>
    </row>
    <row r="14" spans="1:5" x14ac:dyDescent="0.25">
      <c r="A14" s="10">
        <v>44541</v>
      </c>
      <c r="B14" s="11">
        <v>8</v>
      </c>
      <c r="D14" s="10">
        <v>44536</v>
      </c>
      <c r="E14" s="11">
        <v>5</v>
      </c>
    </row>
    <row r="15" spans="1:5" x14ac:dyDescent="0.25">
      <c r="A15" s="10">
        <v>44542</v>
      </c>
      <c r="B15" s="11">
        <v>12</v>
      </c>
      <c r="D15" s="10">
        <v>44543</v>
      </c>
      <c r="E15" s="11">
        <v>5</v>
      </c>
    </row>
    <row r="16" spans="1:5" x14ac:dyDescent="0.25">
      <c r="A16" s="10">
        <v>44543</v>
      </c>
      <c r="B16" s="11">
        <v>6</v>
      </c>
      <c r="D16" s="10">
        <v>44551</v>
      </c>
      <c r="E16" s="11">
        <v>6</v>
      </c>
    </row>
    <row r="17" spans="1:11" x14ac:dyDescent="0.25">
      <c r="A17" s="10">
        <v>44544</v>
      </c>
      <c r="B17" s="11">
        <v>4</v>
      </c>
      <c r="D17" s="10">
        <v>44531</v>
      </c>
      <c r="E17" s="11">
        <v>6</v>
      </c>
    </row>
    <row r="18" spans="1:11" ht="15.75" thickBot="1" x14ac:dyDescent="0.3">
      <c r="A18" s="10">
        <v>44545</v>
      </c>
      <c r="B18" s="11">
        <v>1</v>
      </c>
      <c r="D18" s="10">
        <v>44546</v>
      </c>
      <c r="E18" s="11">
        <v>6</v>
      </c>
    </row>
    <row r="19" spans="1:11" x14ac:dyDescent="0.25">
      <c r="A19" s="10">
        <v>44546</v>
      </c>
      <c r="B19" s="11">
        <v>5</v>
      </c>
      <c r="D19" s="10">
        <v>44534</v>
      </c>
      <c r="E19" s="11">
        <v>8</v>
      </c>
      <c r="G19" s="13" t="s">
        <v>158</v>
      </c>
      <c r="I19" s="13" t="s">
        <v>159</v>
      </c>
      <c r="K19" s="13" t="s">
        <v>160</v>
      </c>
    </row>
    <row r="20" spans="1:11" ht="15.75" thickBot="1" x14ac:dyDescent="0.3">
      <c r="A20" s="10">
        <v>44547</v>
      </c>
      <c r="B20" s="11">
        <v>4</v>
      </c>
      <c r="D20" s="10">
        <v>44554</v>
      </c>
      <c r="E20" s="11">
        <v>8</v>
      </c>
      <c r="G20" s="14">
        <f>LARGE(E4:$E27,1)</f>
        <v>43</v>
      </c>
      <c r="I20" s="15" cm="1">
        <f t="array" ref="I20:I24">LARGE(E4:E27,ROW(1:5))</f>
        <v>43</v>
      </c>
      <c r="K20" s="15" cm="1">
        <f t="array" ref="K20:K25">SMALL(E4:E27,ROW(1:6))</f>
        <v>1</v>
      </c>
    </row>
    <row r="21" spans="1:11" x14ac:dyDescent="0.25">
      <c r="A21" s="10">
        <v>44548</v>
      </c>
      <c r="B21" s="11">
        <v>19</v>
      </c>
      <c r="D21" s="10">
        <v>44547</v>
      </c>
      <c r="E21" s="11">
        <v>10</v>
      </c>
      <c r="I21" s="15">
        <v>19</v>
      </c>
      <c r="K21" s="15">
        <v>3</v>
      </c>
    </row>
    <row r="22" spans="1:11" x14ac:dyDescent="0.25">
      <c r="A22" s="10">
        <v>44549</v>
      </c>
      <c r="B22" s="11">
        <v>43</v>
      </c>
      <c r="D22" s="10">
        <v>44533</v>
      </c>
      <c r="E22" s="11">
        <v>10</v>
      </c>
      <c r="I22" s="15">
        <v>13</v>
      </c>
      <c r="K22" s="15">
        <v>3</v>
      </c>
    </row>
    <row r="23" spans="1:11" x14ac:dyDescent="0.25">
      <c r="A23" s="10">
        <v>44550</v>
      </c>
      <c r="B23" s="11">
        <v>13</v>
      </c>
      <c r="D23" s="10">
        <v>44544</v>
      </c>
      <c r="E23" s="11">
        <v>11</v>
      </c>
      <c r="I23" s="15">
        <v>12</v>
      </c>
      <c r="K23" s="15">
        <v>3</v>
      </c>
    </row>
    <row r="24" spans="1:11" ht="15.75" thickBot="1" x14ac:dyDescent="0.3">
      <c r="A24" s="10">
        <v>44551</v>
      </c>
      <c r="B24" s="11">
        <v>5</v>
      </c>
      <c r="D24" s="10">
        <v>44532</v>
      </c>
      <c r="E24" s="11">
        <v>12</v>
      </c>
      <c r="I24" s="14">
        <v>11</v>
      </c>
      <c r="K24" s="15">
        <v>4</v>
      </c>
    </row>
    <row r="25" spans="1:11" ht="15.75" thickBot="1" x14ac:dyDescent="0.3">
      <c r="A25" s="10">
        <v>44552</v>
      </c>
      <c r="B25" s="11">
        <v>10</v>
      </c>
      <c r="D25" s="10">
        <v>44553</v>
      </c>
      <c r="E25" s="11">
        <v>13</v>
      </c>
      <c r="K25" s="14">
        <v>4</v>
      </c>
    </row>
    <row r="26" spans="1:11" x14ac:dyDescent="0.25">
      <c r="A26" s="10">
        <v>44553</v>
      </c>
      <c r="B26" s="11">
        <v>3</v>
      </c>
      <c r="D26" s="10">
        <v>44539</v>
      </c>
      <c r="E26" s="11">
        <v>19</v>
      </c>
    </row>
    <row r="27" spans="1:11" x14ac:dyDescent="0.25">
      <c r="A27" s="10">
        <v>44554</v>
      </c>
      <c r="B27" s="11">
        <v>4</v>
      </c>
      <c r="D27" s="10">
        <v>44545</v>
      </c>
      <c r="E27" s="11">
        <v>43</v>
      </c>
    </row>
    <row r="28" spans="1:11" x14ac:dyDescent="0.25">
      <c r="A28" s="10" t="s">
        <v>156</v>
      </c>
      <c r="B28" s="11">
        <v>197</v>
      </c>
    </row>
    <row r="29" spans="1:11" x14ac:dyDescent="0.25">
      <c r="A29" s="16" t="s">
        <v>161</v>
      </c>
      <c r="B29" s="16"/>
      <c r="C29" s="16"/>
      <c r="D29" s="16"/>
      <c r="E29" s="16"/>
    </row>
    <row r="30" spans="1:11" x14ac:dyDescent="0.25">
      <c r="A30" s="16"/>
      <c r="B30" s="16"/>
      <c r="C30" s="16"/>
      <c r="D30" s="16"/>
      <c r="E30" s="16"/>
    </row>
    <row r="31" spans="1:11" x14ac:dyDescent="0.25">
      <c r="A31" s="12" t="s">
        <v>155</v>
      </c>
      <c r="B31" s="12" t="s">
        <v>157</v>
      </c>
    </row>
    <row r="32" spans="1:11" x14ac:dyDescent="0.25">
      <c r="A32" s="10">
        <v>44549</v>
      </c>
      <c r="B32" s="11">
        <v>1</v>
      </c>
    </row>
    <row r="33" spans="1:2" x14ac:dyDescent="0.25">
      <c r="A33" s="10">
        <v>44548</v>
      </c>
      <c r="B33" s="11">
        <v>3</v>
      </c>
    </row>
    <row r="34" spans="1:2" x14ac:dyDescent="0.25">
      <c r="A34" s="10">
        <v>44550</v>
      </c>
      <c r="B34" s="11">
        <v>3</v>
      </c>
    </row>
    <row r="35" spans="1:2" x14ac:dyDescent="0.25">
      <c r="A35" s="10">
        <v>44542</v>
      </c>
      <c r="B35" s="11">
        <v>3</v>
      </c>
    </row>
    <row r="36" spans="1:2" x14ac:dyDescent="0.25">
      <c r="A36" s="10">
        <v>44538</v>
      </c>
      <c r="B36" s="11">
        <v>4</v>
      </c>
    </row>
    <row r="37" spans="1:2" x14ac:dyDescent="0.25">
      <c r="A37" s="10">
        <v>44535</v>
      </c>
      <c r="B37" s="11">
        <v>4</v>
      </c>
    </row>
    <row r="38" spans="1:2" x14ac:dyDescent="0.25">
      <c r="A38" s="10">
        <v>44552</v>
      </c>
      <c r="B38" s="11">
        <v>4</v>
      </c>
    </row>
    <row r="39" spans="1:2" x14ac:dyDescent="0.25">
      <c r="A39" s="10">
        <v>44541</v>
      </c>
      <c r="B39" s="11">
        <v>4</v>
      </c>
    </row>
    <row r="40" spans="1:2" x14ac:dyDescent="0.25">
      <c r="A40" s="10">
        <v>44540</v>
      </c>
      <c r="B40" s="11">
        <v>4</v>
      </c>
    </row>
    <row r="41" spans="1:2" x14ac:dyDescent="0.25">
      <c r="A41" s="10">
        <v>44537</v>
      </c>
      <c r="B41" s="11">
        <v>5</v>
      </c>
    </row>
    <row r="42" spans="1:2" x14ac:dyDescent="0.25">
      <c r="A42" s="10">
        <v>44536</v>
      </c>
      <c r="B42" s="11">
        <v>5</v>
      </c>
    </row>
    <row r="43" spans="1:2" x14ac:dyDescent="0.25">
      <c r="A43" s="10">
        <v>44543</v>
      </c>
      <c r="B43" s="11">
        <v>5</v>
      </c>
    </row>
    <row r="44" spans="1:2" x14ac:dyDescent="0.25">
      <c r="A44" s="10">
        <v>44551</v>
      </c>
      <c r="B44" s="11">
        <v>6</v>
      </c>
    </row>
    <row r="45" spans="1:2" x14ac:dyDescent="0.25">
      <c r="A45" s="10">
        <v>44531</v>
      </c>
      <c r="B45" s="11">
        <v>6</v>
      </c>
    </row>
    <row r="46" spans="1:2" x14ac:dyDescent="0.25">
      <c r="A46" s="10">
        <v>44546</v>
      </c>
      <c r="B46" s="11">
        <v>6</v>
      </c>
    </row>
    <row r="47" spans="1:2" x14ac:dyDescent="0.25">
      <c r="A47" s="10">
        <v>44534</v>
      </c>
      <c r="B47" s="11">
        <v>8</v>
      </c>
    </row>
    <row r="48" spans="1:2" x14ac:dyDescent="0.25">
      <c r="A48" s="10">
        <v>44554</v>
      </c>
      <c r="B48" s="11">
        <v>8</v>
      </c>
    </row>
    <row r="49" spans="1:2" x14ac:dyDescent="0.25">
      <c r="A49" s="10">
        <v>44547</v>
      </c>
      <c r="B49" s="11">
        <v>10</v>
      </c>
    </row>
    <row r="50" spans="1:2" x14ac:dyDescent="0.25">
      <c r="A50" s="10">
        <v>44533</v>
      </c>
      <c r="B50" s="11">
        <v>10</v>
      </c>
    </row>
    <row r="51" spans="1:2" x14ac:dyDescent="0.25">
      <c r="A51" s="10">
        <v>44544</v>
      </c>
      <c r="B51" s="11">
        <v>11</v>
      </c>
    </row>
    <row r="52" spans="1:2" x14ac:dyDescent="0.25">
      <c r="A52" s="10">
        <v>44532</v>
      </c>
      <c r="B52" s="11">
        <v>12</v>
      </c>
    </row>
    <row r="53" spans="1:2" x14ac:dyDescent="0.25">
      <c r="A53" s="10">
        <v>44553</v>
      </c>
      <c r="B53" s="11">
        <v>13</v>
      </c>
    </row>
    <row r="54" spans="1:2" x14ac:dyDescent="0.25">
      <c r="A54" s="10">
        <v>44539</v>
      </c>
      <c r="B54" s="11">
        <v>19</v>
      </c>
    </row>
    <row r="55" spans="1:2" x14ac:dyDescent="0.25">
      <c r="A55" s="10">
        <v>44545</v>
      </c>
      <c r="B55" s="11">
        <v>20</v>
      </c>
    </row>
  </sheetData>
  <sortState xmlns:xlrd2="http://schemas.microsoft.com/office/spreadsheetml/2017/richdata2" ref="E4:E27">
    <sortCondition ref="E4:E27"/>
  </sortState>
  <mergeCells count="1">
    <mergeCell ref="A29:E30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outliers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Cristine Gura</cp:lastModifiedBy>
  <cp:revision/>
  <dcterms:created xsi:type="dcterms:W3CDTF">2022-11-04T20:14:11Z</dcterms:created>
  <dcterms:modified xsi:type="dcterms:W3CDTF">2026-10-12T04:58:28Z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